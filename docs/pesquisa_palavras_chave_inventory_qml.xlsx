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eyna\_python_projects\personal\portfolio-projects\quantum_inventory_qml_research\docs\"/>
    </mc:Choice>
  </mc:AlternateContent>
  <xr:revisionPtr revIDLastSave="0" documentId="13_ncr:1_{EDC60855-98A2-4155-B0B7-E4DB4EC1954C}" xr6:coauthVersionLast="47" xr6:coauthVersionMax="47" xr10:uidLastSave="{00000000-0000-0000-0000-000000000000}"/>
  <bookViews>
    <workbookView xWindow="-23148" yWindow="-1884" windowWidth="23256" windowHeight="12456" xr2:uid="{00000000-000D-0000-FFFF-FFFF00000000}"/>
  </bookViews>
  <sheets>
    <sheet name="Palavras-Chave vs Artigos" sheetId="1" r:id="rId1"/>
    <sheet name="Justificativas" sheetId="2" r:id="rId2"/>
    <sheet name="Eixos de Busc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" l="1"/>
  <c r="F42" i="1" s="1"/>
</calcChain>
</file>

<file path=xl/sharedStrings.xml><?xml version="1.0" encoding="utf-8"?>
<sst xmlns="http://schemas.openxmlformats.org/spreadsheetml/2006/main" count="283" uniqueCount="140">
  <si>
    <t>Levantamento Bibliográfico — QML + Previsão e Controle de Inventário em Logística</t>
  </si>
  <si>
    <t>Preencha a coluna "Total de Artigos" com os resultados da busca no Lens.org (filtro: Scholarly Works)</t>
  </si>
  <si>
    <t>Data da busca: ___/___/2026</t>
  </si>
  <si>
    <t>#</t>
  </si>
  <si>
    <t>String de Busca</t>
  </si>
  <si>
    <t>Base</t>
  </si>
  <si>
    <t>Filtro</t>
  </si>
  <si>
    <t>Prioridade</t>
  </si>
  <si>
    <t>Total de Artigos</t>
  </si>
  <si>
    <t>"Quantum Machine Learning" AND "Supply Chain"</t>
  </si>
  <si>
    <t>Lens.org</t>
  </si>
  <si>
    <t>Scholarly Works</t>
  </si>
  <si>
    <t>Alta</t>
  </si>
  <si>
    <t>"Quantum Machine Learning" AND "Demand Forecasting"</t>
  </si>
  <si>
    <t>"Quantum Machine Learning" AND "Inventory"</t>
  </si>
  <si>
    <t>"Quantum Machine Learning" AND "Logistics"</t>
  </si>
  <si>
    <t>"Quantum Neural Network" AND "Supply Chain"</t>
  </si>
  <si>
    <t>"Quantum Computing" AND "Demand Forecasting"</t>
  </si>
  <si>
    <t>"Quantum Computing" AND "Demand Prediction"</t>
  </si>
  <si>
    <t>"Hybrid Quantum" AND "Supply Chain" AND "Prediction"</t>
  </si>
  <si>
    <t>"Quantum Computing" AND "Inventory Control"</t>
  </si>
  <si>
    <t>"Quantum Machine Learning" AND "Time Series"</t>
  </si>
  <si>
    <t>Média</t>
  </si>
  <si>
    <t>"Quantum Machine Learning" AND "Forecasting"</t>
  </si>
  <si>
    <t>"Quantum Neural Network" AND "Forecasting"</t>
  </si>
  <si>
    <t>"Variational Quantum" AND "Forecasting"</t>
  </si>
  <si>
    <t>"Quantum Machine Learning" AND "Prediction"</t>
  </si>
  <si>
    <t>Lens.org limita exportação CSV a 1.000 linhas. CSV exportado com filtro ≥ 2023 (853 de 1.381 artigos).</t>
  </si>
  <si>
    <t>"Quantum Reinforcement Learning" AND "Inventory"</t>
  </si>
  <si>
    <t>"Quantum Computing" AND "Backorder"</t>
  </si>
  <si>
    <t>"Quantum Computing" AND "Supply Chain Management"</t>
  </si>
  <si>
    <t>"Quantum Kernel" AND "Time Series"</t>
  </si>
  <si>
    <t>"Quantum Computing" AND "Predictive Maintenance" AND "Supply Chain"</t>
  </si>
  <si>
    <t>Baixa</t>
  </si>
  <si>
    <t>"Quantum-Inspired" AND "Demand Forecasting"</t>
  </si>
  <si>
    <t>"Quantum Reservoir Computing" AND "Time Series"</t>
  </si>
  <si>
    <t>"Quantum Support Vector Machine" AND "Forecasting"</t>
  </si>
  <si>
    <t>"Quantum Computing" AND "Supply Chain Resilience"</t>
  </si>
  <si>
    <t>"Quantum" AND "Inventory Optimization" AND "Machine Learning"</t>
  </si>
  <si>
    <t>"Quantum Machine Learning" AND "Classification" AND "Supply Chain"</t>
  </si>
  <si>
    <t>"QAmplifyNet" AND "Backorder Prediction"</t>
  </si>
  <si>
    <t>gerar csv</t>
  </si>
  <si>
    <t>"Hybrid Quantum Neural Networks" AND "Backorder Prediction"</t>
  </si>
  <si>
    <t>"Hybrid Quantum Neural Networks" AND "Supply Chain"</t>
  </si>
  <si>
    <t>"Quantum" AND "Demand Forecasting" AND "Supply Chain"</t>
  </si>
  <si>
    <t>Demand Forecasting</t>
  </si>
  <si>
    <t>"Quantum" AND "Inventory Optimization"</t>
  </si>
  <si>
    <t>Inventory Optimization</t>
  </si>
  <si>
    <t>"Quantum" AND "Route Optimization" AND "Supply Chain"</t>
  </si>
  <si>
    <t>Route Optimization</t>
  </si>
  <si>
    <t>"Quantum Machine Learning" AND "Vehicle Routing"</t>
  </si>
  <si>
    <t>"Quantum" AND "Load Balancing" AND "Logistics"</t>
  </si>
  <si>
    <t>Load Balancing</t>
  </si>
  <si>
    <t>"Quantum" AND "Supplier Risk"</t>
  </si>
  <si>
    <t>Supplier Risk Management</t>
  </si>
  <si>
    <t>"Quantum Computing" AND "Supplier Risk Management"</t>
  </si>
  <si>
    <t>TOTAL GERAL</t>
  </si>
  <si>
    <t>TOTAL CORPUS ANALISADO</t>
  </si>
  <si>
    <t>Soma dos artigos efetivamente exportados nos CSVs (853 para string #14, conforme limite de exportação do Lens.org)</t>
  </si>
  <si>
    <t>Justificativa por String de Busca</t>
  </si>
  <si>
    <t>Justificativa</t>
  </si>
  <si>
    <t>Reproduz a string #26 do TSP que identificou a lacuna (79 artigos). String âncora do novo tema</t>
  </si>
  <si>
    <t>Cruza QML diretamente com demand forecasting — tema central do artigo</t>
  </si>
  <si>
    <t>QML + Inventory captura trabalhos como Jiang et al. (quantised policy iteration para inventory control)</t>
  </si>
  <si>
    <t>QML + Logistics amplia o escopo para capturar aplicações logísticas diversas</t>
  </si>
  <si>
    <t>QNN é a arquitetura principal usada nos trabalhos-chave (ex: QAmplifyNet de Jahin et al.)</t>
  </si>
  <si>
    <t>Quantum Computing + Demand Forecasting — captura trabalhos que não usam o termo "QML" explicitamente</t>
  </si>
  <si>
    <t>Variante com "Demand Prediction" para capturar nomenclatura alternativa</t>
  </si>
  <si>
    <t>Abordagens híbridas com foco em previsão em supply chain — tendência dominante na área</t>
  </si>
  <si>
    <t>Inventory control com quantum computing — captura Jiang et al. e trabalhos similares</t>
  </si>
  <si>
    <t>QML + Time Series — amplia para problemas de séries temporais (base técnica de demand forecasting)</t>
  </si>
  <si>
    <t>QML + Forecasting geral — captura artigos que usam "forecasting" sem especificar "demand"</t>
  </si>
  <si>
    <t>QNN para forecasting — variação de nomenclatura para modelos de redes neurais quânticas</t>
  </si>
  <si>
    <t>Variational Quantum Circuits são a base de VQC/VQE/QAOA aplicados a previsão</t>
  </si>
  <si>
    <t>QML + Prediction (geral) — string ampla que contextualiza o campo de QML preditivo</t>
  </si>
  <si>
    <t>QRL para inventário — abordagem emergente identificada em Phillipson (2025)</t>
  </si>
  <si>
    <t>Backorder prediction — problema específico abordado por Jahin et al. com QAmplifyNet</t>
  </si>
  <si>
    <t>String ampla que captura o overview de Phillipson (2025) e revisões similares</t>
  </si>
  <si>
    <t>Quantum Kernels para séries temporais — método QML alternativo a redes neurais</t>
  </si>
  <si>
    <t>Predictive maintenance em supply chain — captura Koushik et al. e trabalhos similares</t>
  </si>
  <si>
    <t>Quantum-Inspired para demand forecasting — alternativa sem hardware quântico real</t>
  </si>
  <si>
    <t>"Quantum Transfer Learning" AND "Supply Chain"</t>
  </si>
  <si>
    <t>Quantum Transfer Learning para supply chain — modelo QML emergente</t>
  </si>
  <si>
    <t>removido - retornou 0</t>
  </si>
  <si>
    <t>Quantum Reservoir Computing para séries temporais — abordagem QML pouco explorada</t>
  </si>
  <si>
    <t>QSVM para forecasting — kernel methods quânticos aplicados a previsão</t>
  </si>
  <si>
    <t>Supply chain resilience — tema crescente pós-pandemia com potencial para QML</t>
  </si>
  <si>
    <t>Combinação exploratória: Quantum + Inventory Optimization + ML para capturar nomenclatura variada</t>
  </si>
  <si>
    <t>QML + Classification + Supply Chain — captura aplicações de classificação (ex: backorder yes/no)</t>
  </si>
  <si>
    <t>Demand Forecasting com Quantum amplo em SC; baseline para comparar volume por area de aplicacao</t>
  </si>
  <si>
    <t>Demand Forecasting com QML especifico; area com maior volume esperado, referencia para identificar lacunas</t>
  </si>
  <si>
    <t>Inventory Optimization com Quantum amplo; captura abordagens quanticas diversas alem do QML</t>
  </si>
  <si>
    <t>Inventory com QML especifico; mesma area das strings #3 e #24, agora com foco em rastreamento por aplicacao</t>
  </si>
  <si>
    <t>Route Optimization em SC; adjacente ao TSP (origem do projeto), volume esperado alto por sobreposicao com otimizacao combinatoria</t>
  </si>
  <si>
    <t>Vehicle Routing com QML; nomenclatura tecnica para Route Optimization, captura artigos de VRP quantico</t>
  </si>
  <si>
    <t>Load Balancing em logistica; termo secundario de Route Optimization, volume esperado baixo neste contexto</t>
  </si>
  <si>
    <t>Supplier Risk com Quantum amplo; area com lacuna esperada em QML, captura abordagens de avaliacao de risco</t>
  </si>
  <si>
    <t>Supplier Risk Management com Quantum Computing; variante para capturar trabalhos sem uso explicito do termo QML</t>
  </si>
  <si>
    <t>Eixos Temáticos para Construção das Strings</t>
  </si>
  <si>
    <t>Eixo 1 — Problema (Previsão e Controle em Logística)</t>
  </si>
  <si>
    <t>Demand Prediction</t>
  </si>
  <si>
    <t>Inventory Control</t>
  </si>
  <si>
    <t>Inventory Management</t>
  </si>
  <si>
    <t>Backorder Prediction</t>
  </si>
  <si>
    <t>Supply Chain Forecasting</t>
  </si>
  <si>
    <t>Predictive Maintenance</t>
  </si>
  <si>
    <t>Time Series Forecasting</t>
  </si>
  <si>
    <t>Stock Management</t>
  </si>
  <si>
    <t>Supply Chain Disruption</t>
  </si>
  <si>
    <t>Lead Time Prediction</t>
  </si>
  <si>
    <t>Sales Forecasting</t>
  </si>
  <si>
    <t>Eixo 2 — Tecnologia (QML e Computação Quântica)</t>
  </si>
  <si>
    <t>Quantum Machine Learning</t>
  </si>
  <si>
    <t>Quantum Neural Network / QNN</t>
  </si>
  <si>
    <t>Variational Quantum Circuit / VQC</t>
  </si>
  <si>
    <t>Quantum Kernel</t>
  </si>
  <si>
    <t>Quantum Support Vector Machine / QSVM</t>
  </si>
  <si>
    <t>Parameterized Quantum Circuit / PQC</t>
  </si>
  <si>
    <t>Quantum Transfer Learning</t>
  </si>
  <si>
    <t>Quantum Reservoir Computing</t>
  </si>
  <si>
    <t>Quantum Reinforcement Learning</t>
  </si>
  <si>
    <t>Hybrid Quantum-Classical</t>
  </si>
  <si>
    <t>Quantum Computing</t>
  </si>
  <si>
    <t>Quantum-Inspired</t>
  </si>
  <si>
    <t>Quantum Deep Learning</t>
  </si>
  <si>
    <t>Pennylane</t>
  </si>
  <si>
    <t>Qiskit</t>
  </si>
  <si>
    <t>Eixo 3 — Aplicação (Logística e Supply Chain)</t>
  </si>
  <si>
    <t>Supply Chain Management</t>
  </si>
  <si>
    <t>Supply Chain</t>
  </si>
  <si>
    <t>Logistics</t>
  </si>
  <si>
    <t>Supply Chain Optimization</t>
  </si>
  <si>
    <t>Warehouse Management</t>
  </si>
  <si>
    <t>Distribution Network</t>
  </si>
  <si>
    <t>Operations Management</t>
  </si>
  <si>
    <t>E-commerce</t>
  </si>
  <si>
    <t>Retail</t>
  </si>
  <si>
    <t>Manufacturing</t>
  </si>
  <si>
    <t>Vehicle Routing</t>
  </si>
  <si>
    <t>Supplier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</si>
</sst>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sz val="10"/>
      <name val="Arial"/>
    </font>
    <font>
      <sz val="10"/>
      <color rgb="FF006100"/>
      <name val="Arial"/>
    </font>
    <font>
      <b/>
      <sz val="10"/>
      <color rgb="FF0000FF"/>
      <name val="Arial"/>
    </font>
    <font>
      <sz val="10"/>
      <color rgb="FF9C6500"/>
      <name val="Arial"/>
    </font>
    <font>
      <sz val="10"/>
      <color rgb="FF9C0006"/>
      <name val="Arial"/>
    </font>
    <font>
      <b/>
      <sz val="10"/>
      <color rgb="FF1F4E79"/>
      <name val="Arial"/>
    </font>
    <font>
      <b/>
      <sz val="11"/>
      <color rgb="FF1F4E79"/>
      <name val="Arial"/>
    </font>
    <font>
      <sz val="10"/>
      <color rgb="FF000000"/>
      <name val="Arial"/>
    </font>
    <font>
      <i/>
      <sz val="10"/>
      <color rgb="FF59595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i/>
      <sz val="9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6E4F0"/>
      </patternFill>
    </fill>
    <fill>
      <patternFill patternType="solid">
        <fgColor rgb="FF375623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4" fillId="7" borderId="0" xfId="0" applyFont="1" applyFill="1" applyAlignment="1">
      <alignment horizontal="left" vertical="center"/>
    </xf>
    <xf numFmtId="0" fontId="0" fillId="7" borderId="0" xfId="0" applyFill="1"/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10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pane ySplit="5" topLeftCell="A36" activePane="bottomLeft" state="frozen"/>
      <selection pane="bottomLeft" activeCell="F42" sqref="F42"/>
    </sheetView>
  </sheetViews>
  <sheetFormatPr defaultRowHeight="15" x14ac:dyDescent="0.25"/>
  <cols>
    <col min="1" max="1" width="5" customWidth="1"/>
    <col min="2" max="2" width="65" customWidth="1"/>
    <col min="3" max="3" width="12" customWidth="1"/>
    <col min="4" max="4" width="18" customWidth="1"/>
    <col min="5" max="5" width="14" customWidth="1"/>
    <col min="6" max="6" width="18" customWidth="1"/>
  </cols>
  <sheetData>
    <row r="1" spans="1:6" ht="30" customHeight="1" x14ac:dyDescent="0.25">
      <c r="A1" s="24" t="s">
        <v>0</v>
      </c>
      <c r="B1" s="23"/>
      <c r="C1" s="23"/>
      <c r="D1" s="23"/>
      <c r="E1" s="23"/>
      <c r="F1" s="23"/>
    </row>
    <row r="2" spans="1:6" x14ac:dyDescent="0.25">
      <c r="A2" s="22" t="s">
        <v>1</v>
      </c>
      <c r="B2" s="23"/>
      <c r="C2" s="23"/>
      <c r="D2" s="23"/>
      <c r="E2" s="23"/>
      <c r="F2" s="23"/>
    </row>
    <row r="3" spans="1:6" x14ac:dyDescent="0.25">
      <c r="A3" s="22" t="s">
        <v>2</v>
      </c>
      <c r="B3" s="23"/>
      <c r="C3" s="23"/>
      <c r="D3" s="23"/>
      <c r="E3" s="23"/>
      <c r="F3" s="23"/>
    </row>
    <row r="5" spans="1:6" ht="24.9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21.95" customHeight="1" x14ac:dyDescent="0.25">
      <c r="A6" s="2">
        <v>1</v>
      </c>
      <c r="B6" s="3" t="s">
        <v>9</v>
      </c>
      <c r="C6" s="2" t="s">
        <v>10</v>
      </c>
      <c r="D6" s="2" t="s">
        <v>11</v>
      </c>
      <c r="E6" s="4" t="s">
        <v>12</v>
      </c>
      <c r="F6" s="5">
        <v>89</v>
      </c>
    </row>
    <row r="7" spans="1:6" ht="21.95" customHeight="1" x14ac:dyDescent="0.25">
      <c r="A7" s="2">
        <v>2</v>
      </c>
      <c r="B7" s="3" t="s">
        <v>13</v>
      </c>
      <c r="C7" s="2" t="s">
        <v>10</v>
      </c>
      <c r="D7" s="2" t="s">
        <v>11</v>
      </c>
      <c r="E7" s="4" t="s">
        <v>12</v>
      </c>
      <c r="F7" s="5">
        <v>13</v>
      </c>
    </row>
    <row r="8" spans="1:6" ht="21.95" customHeight="1" x14ac:dyDescent="0.25">
      <c r="A8" s="2">
        <v>3</v>
      </c>
      <c r="B8" s="3" t="s">
        <v>14</v>
      </c>
      <c r="C8" s="2" t="s">
        <v>10</v>
      </c>
      <c r="D8" s="2" t="s">
        <v>11</v>
      </c>
      <c r="E8" s="4" t="s">
        <v>12</v>
      </c>
      <c r="F8" s="5">
        <v>27</v>
      </c>
    </row>
    <row r="9" spans="1:6" ht="21.95" customHeight="1" x14ac:dyDescent="0.25">
      <c r="A9" s="2">
        <v>4</v>
      </c>
      <c r="B9" s="3" t="s">
        <v>15</v>
      </c>
      <c r="C9" s="2" t="s">
        <v>10</v>
      </c>
      <c r="D9" s="2" t="s">
        <v>11</v>
      </c>
      <c r="E9" s="4" t="s">
        <v>12</v>
      </c>
      <c r="F9" s="5">
        <v>100</v>
      </c>
    </row>
    <row r="10" spans="1:6" ht="21.95" customHeight="1" x14ac:dyDescent="0.25">
      <c r="A10" s="2">
        <v>5</v>
      </c>
      <c r="B10" s="3" t="s">
        <v>16</v>
      </c>
      <c r="C10" s="2" t="s">
        <v>10</v>
      </c>
      <c r="D10" s="2" t="s">
        <v>11</v>
      </c>
      <c r="E10" s="4" t="s">
        <v>12</v>
      </c>
      <c r="F10" s="5">
        <v>40</v>
      </c>
    </row>
    <row r="11" spans="1:6" ht="21.95" customHeight="1" x14ac:dyDescent="0.25">
      <c r="A11" s="2">
        <v>6</v>
      </c>
      <c r="B11" s="3" t="s">
        <v>17</v>
      </c>
      <c r="C11" s="2" t="s">
        <v>10</v>
      </c>
      <c r="D11" s="2" t="s">
        <v>11</v>
      </c>
      <c r="E11" s="4" t="s">
        <v>12</v>
      </c>
      <c r="F11" s="5">
        <v>100</v>
      </c>
    </row>
    <row r="12" spans="1:6" ht="21.95" customHeight="1" x14ac:dyDescent="0.25">
      <c r="A12" s="2">
        <v>7</v>
      </c>
      <c r="B12" s="3" t="s">
        <v>18</v>
      </c>
      <c r="C12" s="2" t="s">
        <v>10</v>
      </c>
      <c r="D12" s="2" t="s">
        <v>11</v>
      </c>
      <c r="E12" s="4" t="s">
        <v>12</v>
      </c>
      <c r="F12" s="5">
        <v>32</v>
      </c>
    </row>
    <row r="13" spans="1:6" ht="21.95" customHeight="1" x14ac:dyDescent="0.25">
      <c r="A13" s="2">
        <v>8</v>
      </c>
      <c r="B13" s="3" t="s">
        <v>19</v>
      </c>
      <c r="C13" s="2" t="s">
        <v>10</v>
      </c>
      <c r="D13" s="2" t="s">
        <v>11</v>
      </c>
      <c r="E13" s="4" t="s">
        <v>12</v>
      </c>
      <c r="F13" s="5">
        <v>35</v>
      </c>
    </row>
    <row r="14" spans="1:6" ht="21.95" customHeight="1" x14ac:dyDescent="0.25">
      <c r="A14" s="2">
        <v>9</v>
      </c>
      <c r="B14" s="3" t="s">
        <v>20</v>
      </c>
      <c r="C14" s="2" t="s">
        <v>10</v>
      </c>
      <c r="D14" s="2" t="s">
        <v>11</v>
      </c>
      <c r="E14" s="4" t="s">
        <v>12</v>
      </c>
      <c r="F14" s="5">
        <v>43</v>
      </c>
    </row>
    <row r="15" spans="1:6" ht="21.95" customHeight="1" x14ac:dyDescent="0.25">
      <c r="A15" s="2">
        <v>10</v>
      </c>
      <c r="B15" s="3" t="s">
        <v>21</v>
      </c>
      <c r="C15" s="2" t="s">
        <v>10</v>
      </c>
      <c r="D15" s="2" t="s">
        <v>11</v>
      </c>
      <c r="E15" s="6" t="s">
        <v>22</v>
      </c>
      <c r="F15" s="5">
        <v>264</v>
      </c>
    </row>
    <row r="16" spans="1:6" ht="21.95" customHeight="1" x14ac:dyDescent="0.25">
      <c r="A16" s="2">
        <v>11</v>
      </c>
      <c r="B16" s="3" t="s">
        <v>23</v>
      </c>
      <c r="C16" s="2" t="s">
        <v>10</v>
      </c>
      <c r="D16" s="2" t="s">
        <v>11</v>
      </c>
      <c r="E16" s="6" t="s">
        <v>22</v>
      </c>
      <c r="F16" s="5">
        <v>363</v>
      </c>
    </row>
    <row r="17" spans="1:8" ht="21.95" customHeight="1" x14ac:dyDescent="0.25">
      <c r="A17" s="2">
        <v>12</v>
      </c>
      <c r="B17" s="3" t="s">
        <v>24</v>
      </c>
      <c r="C17" s="2" t="s">
        <v>10</v>
      </c>
      <c r="D17" s="2" t="s">
        <v>11</v>
      </c>
      <c r="E17" s="6" t="s">
        <v>22</v>
      </c>
      <c r="F17" s="5">
        <v>266</v>
      </c>
    </row>
    <row r="18" spans="1:8" ht="21.95" customHeight="1" x14ac:dyDescent="0.25">
      <c r="A18" s="2">
        <v>13</v>
      </c>
      <c r="B18" s="3" t="s">
        <v>25</v>
      </c>
      <c r="C18" s="2" t="s">
        <v>10</v>
      </c>
      <c r="D18" s="2" t="s">
        <v>11</v>
      </c>
      <c r="E18" s="6" t="s">
        <v>22</v>
      </c>
      <c r="F18" s="5">
        <v>176</v>
      </c>
    </row>
    <row r="19" spans="1:8" ht="30" customHeight="1" x14ac:dyDescent="0.25">
      <c r="A19" s="2">
        <v>14</v>
      </c>
      <c r="B19" s="3" t="s">
        <v>26</v>
      </c>
      <c r="C19" s="2" t="s">
        <v>10</v>
      </c>
      <c r="D19" s="2" t="s">
        <v>11</v>
      </c>
      <c r="E19" s="6" t="s">
        <v>22</v>
      </c>
      <c r="F19" s="5">
        <v>1381</v>
      </c>
      <c r="G19" s="16">
        <v>853</v>
      </c>
      <c r="H19" s="17" t="s">
        <v>27</v>
      </c>
    </row>
    <row r="20" spans="1:8" ht="21.95" customHeight="1" x14ac:dyDescent="0.25">
      <c r="A20" s="2">
        <v>15</v>
      </c>
      <c r="B20" s="3" t="s">
        <v>28</v>
      </c>
      <c r="C20" s="2" t="s">
        <v>10</v>
      </c>
      <c r="D20" s="2" t="s">
        <v>11</v>
      </c>
      <c r="E20" s="6" t="s">
        <v>22</v>
      </c>
      <c r="F20" s="5">
        <v>4</v>
      </c>
    </row>
    <row r="21" spans="1:8" ht="21.95" customHeight="1" x14ac:dyDescent="0.25">
      <c r="A21" s="2">
        <v>16</v>
      </c>
      <c r="B21" s="3" t="s">
        <v>29</v>
      </c>
      <c r="C21" s="2" t="s">
        <v>10</v>
      </c>
      <c r="D21" s="2" t="s">
        <v>11</v>
      </c>
      <c r="E21" s="6" t="s">
        <v>22</v>
      </c>
      <c r="F21" s="5">
        <v>4</v>
      </c>
    </row>
    <row r="22" spans="1:8" ht="21.95" customHeight="1" x14ac:dyDescent="0.25">
      <c r="A22" s="2">
        <v>17</v>
      </c>
      <c r="B22" s="3" t="s">
        <v>30</v>
      </c>
      <c r="C22" s="2" t="s">
        <v>10</v>
      </c>
      <c r="D22" s="2" t="s">
        <v>11</v>
      </c>
      <c r="E22" s="6" t="s">
        <v>22</v>
      </c>
      <c r="F22" s="5">
        <v>399</v>
      </c>
    </row>
    <row r="23" spans="1:8" ht="21.95" customHeight="1" x14ac:dyDescent="0.25">
      <c r="A23" s="2">
        <v>18</v>
      </c>
      <c r="B23" s="3" t="s">
        <v>31</v>
      </c>
      <c r="C23" s="2" t="s">
        <v>10</v>
      </c>
      <c r="D23" s="2" t="s">
        <v>11</v>
      </c>
      <c r="E23" s="6" t="s">
        <v>22</v>
      </c>
      <c r="F23" s="5">
        <v>47</v>
      </c>
    </row>
    <row r="24" spans="1:8" ht="21.95" customHeight="1" x14ac:dyDescent="0.25">
      <c r="A24" s="2">
        <v>19</v>
      </c>
      <c r="B24" s="3" t="s">
        <v>32</v>
      </c>
      <c r="C24" s="2" t="s">
        <v>10</v>
      </c>
      <c r="D24" s="2" t="s">
        <v>11</v>
      </c>
      <c r="E24" s="7" t="s">
        <v>33</v>
      </c>
      <c r="F24" s="5">
        <v>99</v>
      </c>
    </row>
    <row r="25" spans="1:8" ht="21.95" customHeight="1" x14ac:dyDescent="0.25">
      <c r="A25" s="2">
        <v>20</v>
      </c>
      <c r="B25" s="3" t="s">
        <v>34</v>
      </c>
      <c r="C25" s="2" t="s">
        <v>10</v>
      </c>
      <c r="D25" s="2" t="s">
        <v>11</v>
      </c>
      <c r="E25" s="7" t="s">
        <v>33</v>
      </c>
      <c r="F25" s="5">
        <v>30</v>
      </c>
    </row>
    <row r="26" spans="1:8" ht="21.95" customHeight="1" x14ac:dyDescent="0.25">
      <c r="A26" s="2">
        <v>21</v>
      </c>
      <c r="B26" s="3" t="s">
        <v>35</v>
      </c>
      <c r="C26" s="2" t="s">
        <v>10</v>
      </c>
      <c r="D26" s="2" t="s">
        <v>11</v>
      </c>
      <c r="E26" s="7" t="s">
        <v>33</v>
      </c>
      <c r="F26" s="5">
        <v>88</v>
      </c>
    </row>
    <row r="27" spans="1:8" ht="21.95" customHeight="1" x14ac:dyDescent="0.25">
      <c r="A27" s="2">
        <v>22</v>
      </c>
      <c r="B27" s="3" t="s">
        <v>36</v>
      </c>
      <c r="C27" s="2" t="s">
        <v>10</v>
      </c>
      <c r="D27" s="2" t="s">
        <v>11</v>
      </c>
      <c r="E27" s="7" t="s">
        <v>33</v>
      </c>
      <c r="F27" s="5">
        <v>63</v>
      </c>
    </row>
    <row r="28" spans="1:8" ht="21.95" customHeight="1" x14ac:dyDescent="0.25">
      <c r="A28" s="2">
        <v>23</v>
      </c>
      <c r="B28" s="3" t="s">
        <v>37</v>
      </c>
      <c r="C28" s="2" t="s">
        <v>10</v>
      </c>
      <c r="D28" s="2" t="s">
        <v>11</v>
      </c>
      <c r="E28" s="7" t="s">
        <v>33</v>
      </c>
      <c r="F28" s="5">
        <v>30</v>
      </c>
    </row>
    <row r="29" spans="1:8" ht="21.95" customHeight="1" x14ac:dyDescent="0.25">
      <c r="A29" s="2">
        <v>24</v>
      </c>
      <c r="B29" s="3" t="s">
        <v>38</v>
      </c>
      <c r="C29" s="2" t="s">
        <v>10</v>
      </c>
      <c r="D29" s="2" t="s">
        <v>11</v>
      </c>
      <c r="E29" s="7" t="s">
        <v>33</v>
      </c>
      <c r="F29" s="5">
        <v>15</v>
      </c>
    </row>
    <row r="30" spans="1:8" ht="21.95" customHeight="1" x14ac:dyDescent="0.25">
      <c r="A30" s="2">
        <v>25</v>
      </c>
      <c r="B30" s="3" t="s">
        <v>39</v>
      </c>
      <c r="C30" s="2" t="s">
        <v>10</v>
      </c>
      <c r="D30" s="2" t="s">
        <v>11</v>
      </c>
      <c r="E30" s="7" t="s">
        <v>33</v>
      </c>
      <c r="F30" s="5">
        <v>31</v>
      </c>
    </row>
    <row r="31" spans="1:8" ht="21.95" customHeight="1" x14ac:dyDescent="0.25">
      <c r="A31" s="10">
        <v>26</v>
      </c>
      <c r="B31" s="9" t="s">
        <v>40</v>
      </c>
      <c r="C31" s="2" t="s">
        <v>10</v>
      </c>
      <c r="D31" s="2" t="s">
        <v>11</v>
      </c>
      <c r="E31" s="7" t="s">
        <v>33</v>
      </c>
      <c r="F31" s="11">
        <v>4</v>
      </c>
      <c r="G31" t="s">
        <v>41</v>
      </c>
    </row>
    <row r="32" spans="1:8" ht="21.95" customHeight="1" x14ac:dyDescent="0.25">
      <c r="A32" s="10">
        <v>27</v>
      </c>
      <c r="B32" s="9" t="s">
        <v>42</v>
      </c>
      <c r="C32" s="2" t="s">
        <v>10</v>
      </c>
      <c r="D32" s="2" t="s">
        <v>11</v>
      </c>
      <c r="E32" s="7" t="s">
        <v>33</v>
      </c>
      <c r="F32" s="11">
        <v>0</v>
      </c>
    </row>
    <row r="33" spans="1:8" x14ac:dyDescent="0.25">
      <c r="A33" s="10">
        <v>28</v>
      </c>
      <c r="B33" s="9" t="s">
        <v>43</v>
      </c>
      <c r="C33" s="2" t="s">
        <v>10</v>
      </c>
      <c r="D33" s="2" t="s">
        <v>11</v>
      </c>
      <c r="E33" s="7" t="s">
        <v>33</v>
      </c>
      <c r="F33" s="11">
        <v>0</v>
      </c>
    </row>
    <row r="34" spans="1:8" ht="38.25" customHeight="1" x14ac:dyDescent="0.25">
      <c r="A34" s="12">
        <v>29</v>
      </c>
      <c r="B34" s="13" t="s">
        <v>44</v>
      </c>
      <c r="C34" s="12" t="s">
        <v>10</v>
      </c>
      <c r="D34" s="12" t="s">
        <v>11</v>
      </c>
      <c r="E34" s="4" t="s">
        <v>12</v>
      </c>
      <c r="F34" s="14">
        <v>184</v>
      </c>
      <c r="G34" s="15" t="s">
        <v>45</v>
      </c>
    </row>
    <row r="35" spans="1:8" ht="38.25" customHeight="1" x14ac:dyDescent="0.25">
      <c r="A35" s="12">
        <v>30</v>
      </c>
      <c r="B35" s="13" t="s">
        <v>46</v>
      </c>
      <c r="C35" s="12" t="s">
        <v>10</v>
      </c>
      <c r="D35" s="12" t="s">
        <v>11</v>
      </c>
      <c r="E35" s="4" t="s">
        <v>12</v>
      </c>
      <c r="F35" s="14">
        <v>37</v>
      </c>
      <c r="G35" s="15" t="s">
        <v>47</v>
      </c>
    </row>
    <row r="36" spans="1:8" ht="38.25" customHeight="1" x14ac:dyDescent="0.25">
      <c r="A36" s="12">
        <v>31</v>
      </c>
      <c r="B36" s="13" t="s">
        <v>48</v>
      </c>
      <c r="C36" s="12" t="s">
        <v>10</v>
      </c>
      <c r="D36" s="12" t="s">
        <v>11</v>
      </c>
      <c r="E36" s="6" t="s">
        <v>22</v>
      </c>
      <c r="F36" s="14">
        <v>75</v>
      </c>
      <c r="G36" s="15" t="s">
        <v>49</v>
      </c>
    </row>
    <row r="37" spans="1:8" ht="38.25" customHeight="1" x14ac:dyDescent="0.25">
      <c r="A37" s="12">
        <v>32</v>
      </c>
      <c r="B37" s="13" t="s">
        <v>50</v>
      </c>
      <c r="C37" s="12" t="s">
        <v>10</v>
      </c>
      <c r="D37" s="12" t="s">
        <v>11</v>
      </c>
      <c r="E37" s="6" t="s">
        <v>22</v>
      </c>
      <c r="F37" s="14">
        <v>17</v>
      </c>
      <c r="G37" s="15" t="s">
        <v>49</v>
      </c>
    </row>
    <row r="38" spans="1:8" ht="38.25" customHeight="1" x14ac:dyDescent="0.25">
      <c r="A38" s="12">
        <v>33</v>
      </c>
      <c r="B38" s="13" t="s">
        <v>51</v>
      </c>
      <c r="C38" s="12" t="s">
        <v>10</v>
      </c>
      <c r="D38" s="12" t="s">
        <v>11</v>
      </c>
      <c r="E38" s="7" t="s">
        <v>33</v>
      </c>
      <c r="F38" s="14">
        <v>172</v>
      </c>
      <c r="G38" s="15" t="s">
        <v>52</v>
      </c>
    </row>
    <row r="39" spans="1:8" ht="51" customHeight="1" x14ac:dyDescent="0.25">
      <c r="A39" s="12">
        <v>34</v>
      </c>
      <c r="B39" s="13" t="s">
        <v>53</v>
      </c>
      <c r="C39" s="12" t="s">
        <v>10</v>
      </c>
      <c r="D39" s="12" t="s">
        <v>11</v>
      </c>
      <c r="E39" s="6" t="s">
        <v>22</v>
      </c>
      <c r="F39" s="14">
        <v>9</v>
      </c>
      <c r="G39" s="15" t="s">
        <v>54</v>
      </c>
    </row>
    <row r="40" spans="1:8" ht="51" customHeight="1" x14ac:dyDescent="0.25">
      <c r="A40" s="12">
        <v>35</v>
      </c>
      <c r="B40" s="13" t="s">
        <v>55</v>
      </c>
      <c r="C40" s="12" t="s">
        <v>10</v>
      </c>
      <c r="D40" s="12" t="s">
        <v>11</v>
      </c>
      <c r="E40" s="6" t="s">
        <v>22</v>
      </c>
      <c r="F40" s="14">
        <v>5</v>
      </c>
      <c r="G40" s="15" t="s">
        <v>54</v>
      </c>
    </row>
    <row r="41" spans="1:8" x14ac:dyDescent="0.25">
      <c r="A41" s="25" t="s">
        <v>56</v>
      </c>
      <c r="B41" s="26"/>
      <c r="C41" s="26"/>
      <c r="D41" s="26"/>
      <c r="E41" s="27"/>
      <c r="F41" s="8">
        <f>SUM(F6:F40)</f>
        <v>4242</v>
      </c>
    </row>
    <row r="42" spans="1:8" ht="30" customHeight="1" x14ac:dyDescent="0.25">
      <c r="A42" s="18" t="s">
        <v>57</v>
      </c>
      <c r="B42" s="19"/>
      <c r="C42" s="19"/>
      <c r="D42" s="19"/>
      <c r="E42" s="19"/>
      <c r="F42" s="20">
        <f>F41-F19+853</f>
        <v>3714</v>
      </c>
      <c r="G42" s="19"/>
      <c r="H42" s="21" t="s">
        <v>58</v>
      </c>
    </row>
  </sheetData>
  <mergeCells count="4">
    <mergeCell ref="A3:F3"/>
    <mergeCell ref="A2:F2"/>
    <mergeCell ref="A1:F1"/>
    <mergeCell ref="A41:E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>
      <pane ySplit="3" topLeftCell="A4" activePane="bottomLeft" state="frozen"/>
      <selection pane="bottomLeft" activeCell="A39" sqref="A39"/>
    </sheetView>
  </sheetViews>
  <sheetFormatPr defaultRowHeight="15" x14ac:dyDescent="0.25"/>
  <cols>
    <col min="1" max="1" width="5" customWidth="1"/>
    <col min="2" max="2" width="55" customWidth="1"/>
    <col min="3" max="3" width="80" customWidth="1"/>
  </cols>
  <sheetData>
    <row r="1" spans="1:3" ht="18" customHeight="1" x14ac:dyDescent="0.25">
      <c r="A1" s="28" t="s">
        <v>59</v>
      </c>
      <c r="B1" s="23"/>
      <c r="C1" s="23"/>
    </row>
    <row r="3" spans="1:3" x14ac:dyDescent="0.25">
      <c r="A3" s="1" t="s">
        <v>3</v>
      </c>
      <c r="B3" s="1" t="s">
        <v>4</v>
      </c>
      <c r="C3" s="1" t="s">
        <v>60</v>
      </c>
    </row>
    <row r="4" spans="1:3" ht="25.5" customHeight="1" x14ac:dyDescent="0.25">
      <c r="A4" s="2">
        <v>1</v>
      </c>
      <c r="B4" s="3" t="s">
        <v>9</v>
      </c>
      <c r="C4" s="3" t="s">
        <v>61</v>
      </c>
    </row>
    <row r="5" spans="1:3" x14ac:dyDescent="0.25">
      <c r="A5" s="2">
        <v>2</v>
      </c>
      <c r="B5" s="3" t="s">
        <v>13</v>
      </c>
      <c r="C5" s="3" t="s">
        <v>62</v>
      </c>
    </row>
    <row r="6" spans="1:3" ht="25.5" customHeight="1" x14ac:dyDescent="0.25">
      <c r="A6" s="2">
        <v>3</v>
      </c>
      <c r="B6" s="3" t="s">
        <v>14</v>
      </c>
      <c r="C6" s="3" t="s">
        <v>63</v>
      </c>
    </row>
    <row r="7" spans="1:3" x14ac:dyDescent="0.25">
      <c r="A7" s="2">
        <v>4</v>
      </c>
      <c r="B7" s="3" t="s">
        <v>15</v>
      </c>
      <c r="C7" s="3" t="s">
        <v>64</v>
      </c>
    </row>
    <row r="8" spans="1:3" x14ac:dyDescent="0.25">
      <c r="A8" s="2">
        <v>5</v>
      </c>
      <c r="B8" s="3" t="s">
        <v>16</v>
      </c>
      <c r="C8" s="3" t="s">
        <v>65</v>
      </c>
    </row>
    <row r="9" spans="1:3" ht="25.5" customHeight="1" x14ac:dyDescent="0.25">
      <c r="A9" s="2">
        <v>6</v>
      </c>
      <c r="B9" s="3" t="s">
        <v>17</v>
      </c>
      <c r="C9" s="3" t="s">
        <v>66</v>
      </c>
    </row>
    <row r="10" spans="1:3" x14ac:dyDescent="0.25">
      <c r="A10" s="2">
        <v>7</v>
      </c>
      <c r="B10" s="3" t="s">
        <v>18</v>
      </c>
      <c r="C10" s="3" t="s">
        <v>67</v>
      </c>
    </row>
    <row r="11" spans="1:3" x14ac:dyDescent="0.25">
      <c r="A11" s="2">
        <v>8</v>
      </c>
      <c r="B11" s="3" t="s">
        <v>19</v>
      </c>
      <c r="C11" s="3" t="s">
        <v>68</v>
      </c>
    </row>
    <row r="12" spans="1:3" x14ac:dyDescent="0.25">
      <c r="A12" s="2">
        <v>9</v>
      </c>
      <c r="B12" s="3" t="s">
        <v>20</v>
      </c>
      <c r="C12" s="3" t="s">
        <v>69</v>
      </c>
    </row>
    <row r="13" spans="1:3" ht="25.5" customHeight="1" x14ac:dyDescent="0.25">
      <c r="A13" s="2">
        <v>10</v>
      </c>
      <c r="B13" s="3" t="s">
        <v>21</v>
      </c>
      <c r="C13" s="3" t="s">
        <v>70</v>
      </c>
    </row>
    <row r="14" spans="1:3" ht="25.5" customHeight="1" x14ac:dyDescent="0.25">
      <c r="A14" s="2">
        <v>11</v>
      </c>
      <c r="B14" s="3" t="s">
        <v>23</v>
      </c>
      <c r="C14" s="3" t="s">
        <v>71</v>
      </c>
    </row>
    <row r="15" spans="1:3" x14ac:dyDescent="0.25">
      <c r="A15" s="2">
        <v>12</v>
      </c>
      <c r="B15" s="3" t="s">
        <v>24</v>
      </c>
      <c r="C15" s="3" t="s">
        <v>72</v>
      </c>
    </row>
    <row r="16" spans="1:3" x14ac:dyDescent="0.25">
      <c r="A16" s="2">
        <v>13</v>
      </c>
      <c r="B16" s="3" t="s">
        <v>25</v>
      </c>
      <c r="C16" s="3" t="s">
        <v>73</v>
      </c>
    </row>
    <row r="17" spans="1:4" x14ac:dyDescent="0.25">
      <c r="A17" s="2">
        <v>14</v>
      </c>
      <c r="B17" s="3" t="s">
        <v>26</v>
      </c>
      <c r="C17" s="3" t="s">
        <v>74</v>
      </c>
    </row>
    <row r="18" spans="1:4" x14ac:dyDescent="0.25">
      <c r="A18" s="2">
        <v>15</v>
      </c>
      <c r="B18" s="3" t="s">
        <v>28</v>
      </c>
      <c r="C18" s="3" t="s">
        <v>75</v>
      </c>
    </row>
    <row r="19" spans="1:4" x14ac:dyDescent="0.25">
      <c r="A19" s="2">
        <v>16</v>
      </c>
      <c r="B19" s="3" t="s">
        <v>29</v>
      </c>
      <c r="C19" s="3" t="s">
        <v>76</v>
      </c>
    </row>
    <row r="20" spans="1:4" x14ac:dyDescent="0.25">
      <c r="A20" s="2">
        <v>17</v>
      </c>
      <c r="B20" s="3" t="s">
        <v>30</v>
      </c>
      <c r="C20" s="3" t="s">
        <v>77</v>
      </c>
    </row>
    <row r="21" spans="1:4" x14ac:dyDescent="0.25">
      <c r="A21" s="2">
        <v>18</v>
      </c>
      <c r="B21" s="3" t="s">
        <v>31</v>
      </c>
      <c r="C21" s="3" t="s">
        <v>78</v>
      </c>
    </row>
    <row r="22" spans="1:4" ht="25.5" customHeight="1" x14ac:dyDescent="0.25">
      <c r="A22" s="2">
        <v>19</v>
      </c>
      <c r="B22" s="3" t="s">
        <v>32</v>
      </c>
      <c r="C22" s="3" t="s">
        <v>79</v>
      </c>
    </row>
    <row r="23" spans="1:4" x14ac:dyDescent="0.25">
      <c r="A23" s="2">
        <v>20</v>
      </c>
      <c r="B23" s="3" t="s">
        <v>34</v>
      </c>
      <c r="C23" s="3" t="s">
        <v>80</v>
      </c>
    </row>
    <row r="24" spans="1:4" x14ac:dyDescent="0.25">
      <c r="A24" s="2">
        <v>21</v>
      </c>
      <c r="B24" s="3" t="s">
        <v>81</v>
      </c>
      <c r="C24" s="3" t="s">
        <v>82</v>
      </c>
      <c r="D24" t="s">
        <v>83</v>
      </c>
    </row>
    <row r="25" spans="1:4" x14ac:dyDescent="0.25">
      <c r="A25" s="2">
        <v>22</v>
      </c>
      <c r="B25" s="3" t="s">
        <v>35</v>
      </c>
      <c r="C25" s="3" t="s">
        <v>84</v>
      </c>
    </row>
    <row r="26" spans="1:4" x14ac:dyDescent="0.25">
      <c r="A26" s="2">
        <v>23</v>
      </c>
      <c r="B26" s="3" t="s">
        <v>36</v>
      </c>
      <c r="C26" s="3" t="s">
        <v>85</v>
      </c>
    </row>
    <row r="27" spans="1:4" x14ac:dyDescent="0.25">
      <c r="A27" s="2">
        <v>24</v>
      </c>
      <c r="B27" s="3" t="s">
        <v>37</v>
      </c>
      <c r="C27" s="3" t="s">
        <v>86</v>
      </c>
    </row>
    <row r="28" spans="1:4" ht="25.5" customHeight="1" x14ac:dyDescent="0.25">
      <c r="A28" s="2">
        <v>25</v>
      </c>
      <c r="B28" s="3" t="s">
        <v>38</v>
      </c>
      <c r="C28" s="3" t="s">
        <v>87</v>
      </c>
    </row>
    <row r="29" spans="1:4" ht="25.5" customHeight="1" x14ac:dyDescent="0.25">
      <c r="A29" s="2">
        <v>26</v>
      </c>
      <c r="B29" s="3" t="s">
        <v>39</v>
      </c>
      <c r="C29" s="3" t="s">
        <v>88</v>
      </c>
    </row>
    <row r="30" spans="1:4" ht="25.5" customHeight="1" x14ac:dyDescent="0.25">
      <c r="A30" s="2">
        <v>29</v>
      </c>
      <c r="B30" s="3" t="s">
        <v>44</v>
      </c>
      <c r="C30" s="3" t="s">
        <v>89</v>
      </c>
    </row>
    <row r="31" spans="1:4" ht="25.5" customHeight="1" x14ac:dyDescent="0.25">
      <c r="A31" s="2">
        <v>30</v>
      </c>
      <c r="B31" s="3" t="s">
        <v>13</v>
      </c>
      <c r="C31" s="3" t="s">
        <v>90</v>
      </c>
    </row>
    <row r="32" spans="1:4" ht="25.5" customHeight="1" x14ac:dyDescent="0.25">
      <c r="A32" s="2">
        <v>31</v>
      </c>
      <c r="B32" s="3" t="s">
        <v>46</v>
      </c>
      <c r="C32" s="3" t="s">
        <v>91</v>
      </c>
    </row>
    <row r="33" spans="1:3" ht="25.5" customHeight="1" x14ac:dyDescent="0.25">
      <c r="A33" s="2">
        <v>32</v>
      </c>
      <c r="B33" s="3" t="s">
        <v>14</v>
      </c>
      <c r="C33" s="3" t="s">
        <v>92</v>
      </c>
    </row>
    <row r="34" spans="1:3" ht="25.5" customHeight="1" x14ac:dyDescent="0.25">
      <c r="A34" s="2">
        <v>33</v>
      </c>
      <c r="B34" s="3" t="s">
        <v>48</v>
      </c>
      <c r="C34" s="3" t="s">
        <v>93</v>
      </c>
    </row>
    <row r="35" spans="1:3" ht="25.5" customHeight="1" x14ac:dyDescent="0.25">
      <c r="A35" s="2">
        <v>34</v>
      </c>
      <c r="B35" s="3" t="s">
        <v>50</v>
      </c>
      <c r="C35" s="3" t="s">
        <v>94</v>
      </c>
    </row>
    <row r="36" spans="1:3" ht="25.5" customHeight="1" x14ac:dyDescent="0.25">
      <c r="A36" s="2">
        <v>35</v>
      </c>
      <c r="B36" s="3" t="s">
        <v>51</v>
      </c>
      <c r="C36" s="3" t="s">
        <v>95</v>
      </c>
    </row>
    <row r="37" spans="1:3" ht="25.5" customHeight="1" x14ac:dyDescent="0.25">
      <c r="A37" s="2">
        <v>36</v>
      </c>
      <c r="B37" s="3" t="s">
        <v>53</v>
      </c>
      <c r="C37" s="3" t="s">
        <v>96</v>
      </c>
    </row>
    <row r="38" spans="1:3" ht="25.5" customHeight="1" x14ac:dyDescent="0.25">
      <c r="A38" s="2">
        <v>37</v>
      </c>
      <c r="B38" s="3" t="s">
        <v>55</v>
      </c>
      <c r="C38" s="3" t="s">
        <v>97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topLeftCell="A220" zoomScale="98" zoomScaleNormal="98" workbookViewId="0">
      <selection activeCell="A51" sqref="A51:XFD51"/>
    </sheetView>
  </sheetViews>
  <sheetFormatPr defaultRowHeight="15" x14ac:dyDescent="0.25"/>
  <cols>
    <col min="1" max="1" width="5" customWidth="1"/>
    <col min="2" max="2" width="55" customWidth="1"/>
  </cols>
  <sheetData>
    <row r="1" spans="1:2" ht="18" customHeight="1" x14ac:dyDescent="0.25">
      <c r="A1" s="28" t="s">
        <v>98</v>
      </c>
      <c r="B1" s="23"/>
    </row>
    <row r="3" spans="1:2" x14ac:dyDescent="0.25">
      <c r="A3" s="29" t="s">
        <v>99</v>
      </c>
      <c r="B3" s="23"/>
    </row>
    <row r="4" spans="1:2" x14ac:dyDescent="0.25">
      <c r="B4" s="9" t="s">
        <v>45</v>
      </c>
    </row>
    <row r="5" spans="1:2" x14ac:dyDescent="0.25">
      <c r="B5" s="9" t="s">
        <v>100</v>
      </c>
    </row>
    <row r="6" spans="1:2" x14ac:dyDescent="0.25">
      <c r="B6" s="9" t="s">
        <v>101</v>
      </c>
    </row>
    <row r="7" spans="1:2" x14ac:dyDescent="0.25">
      <c r="B7" s="9" t="s">
        <v>47</v>
      </c>
    </row>
    <row r="8" spans="1:2" x14ac:dyDescent="0.25">
      <c r="B8" s="9" t="s">
        <v>102</v>
      </c>
    </row>
    <row r="9" spans="1:2" x14ac:dyDescent="0.25">
      <c r="B9" s="9" t="s">
        <v>103</v>
      </c>
    </row>
    <row r="10" spans="1:2" x14ac:dyDescent="0.25">
      <c r="B10" s="9" t="s">
        <v>104</v>
      </c>
    </row>
    <row r="11" spans="1:2" x14ac:dyDescent="0.25">
      <c r="B11" s="9" t="s">
        <v>105</v>
      </c>
    </row>
    <row r="12" spans="1:2" x14ac:dyDescent="0.25">
      <c r="B12" s="9" t="s">
        <v>106</v>
      </c>
    </row>
    <row r="13" spans="1:2" x14ac:dyDescent="0.25">
      <c r="B13" s="9" t="s">
        <v>107</v>
      </c>
    </row>
    <row r="14" spans="1:2" x14ac:dyDescent="0.25">
      <c r="B14" s="9" t="s">
        <v>108</v>
      </c>
    </row>
    <row r="15" spans="1:2" x14ac:dyDescent="0.25">
      <c r="B15" s="9" t="s">
        <v>109</v>
      </c>
    </row>
    <row r="16" spans="1:2" x14ac:dyDescent="0.25">
      <c r="B16" s="9" t="s">
        <v>110</v>
      </c>
    </row>
    <row r="18" spans="1:2" x14ac:dyDescent="0.25">
      <c r="A18" s="29" t="s">
        <v>111</v>
      </c>
      <c r="B18" s="23"/>
    </row>
    <row r="19" spans="1:2" x14ac:dyDescent="0.25">
      <c r="B19" s="9" t="s">
        <v>112</v>
      </c>
    </row>
    <row r="20" spans="1:2" x14ac:dyDescent="0.25">
      <c r="B20" s="9" t="s">
        <v>113</v>
      </c>
    </row>
    <row r="21" spans="1:2" x14ac:dyDescent="0.25">
      <c r="B21" s="9" t="s">
        <v>114</v>
      </c>
    </row>
    <row r="22" spans="1:2" x14ac:dyDescent="0.25">
      <c r="B22" s="9" t="s">
        <v>115</v>
      </c>
    </row>
    <row r="23" spans="1:2" x14ac:dyDescent="0.25">
      <c r="B23" s="9" t="s">
        <v>116</v>
      </c>
    </row>
    <row r="24" spans="1:2" x14ac:dyDescent="0.25">
      <c r="B24" s="9" t="s">
        <v>117</v>
      </c>
    </row>
    <row r="25" spans="1:2" x14ac:dyDescent="0.25">
      <c r="B25" s="9" t="s">
        <v>118</v>
      </c>
    </row>
    <row r="26" spans="1:2" x14ac:dyDescent="0.25">
      <c r="B26" s="9" t="s">
        <v>119</v>
      </c>
    </row>
    <row r="27" spans="1:2" x14ac:dyDescent="0.25">
      <c r="B27" s="9" t="s">
        <v>120</v>
      </c>
    </row>
    <row r="28" spans="1:2" x14ac:dyDescent="0.25">
      <c r="B28" s="9" t="s">
        <v>121</v>
      </c>
    </row>
    <row r="29" spans="1:2" x14ac:dyDescent="0.25">
      <c r="B29" s="9" t="s">
        <v>122</v>
      </c>
    </row>
    <row r="30" spans="1:2" x14ac:dyDescent="0.25">
      <c r="B30" s="9" t="s">
        <v>123</v>
      </c>
    </row>
    <row r="31" spans="1:2" x14ac:dyDescent="0.25">
      <c r="B31" s="9" t="s">
        <v>124</v>
      </c>
    </row>
    <row r="32" spans="1:2" x14ac:dyDescent="0.25">
      <c r="B32" s="9" t="s">
        <v>125</v>
      </c>
    </row>
    <row r="33" spans="1:2" x14ac:dyDescent="0.25">
      <c r="B33" s="9" t="s">
        <v>126</v>
      </c>
    </row>
    <row r="35" spans="1:2" x14ac:dyDescent="0.25">
      <c r="A35" s="29" t="s">
        <v>127</v>
      </c>
      <c r="B35" s="23"/>
    </row>
    <row r="36" spans="1:2" x14ac:dyDescent="0.25">
      <c r="B36" s="9" t="s">
        <v>128</v>
      </c>
    </row>
    <row r="37" spans="1:2" x14ac:dyDescent="0.25">
      <c r="B37" s="9" t="s">
        <v>129</v>
      </c>
    </row>
    <row r="38" spans="1:2" x14ac:dyDescent="0.25">
      <c r="B38" s="9" t="s">
        <v>130</v>
      </c>
    </row>
    <row r="39" spans="1:2" x14ac:dyDescent="0.25">
      <c r="B39" s="9" t="s">
        <v>131</v>
      </c>
    </row>
    <row r="40" spans="1:2" x14ac:dyDescent="0.25">
      <c r="B40" s="9" t="s">
        <v>132</v>
      </c>
    </row>
    <row r="41" spans="1:2" x14ac:dyDescent="0.25">
      <c r="B41" s="9" t="s">
        <v>133</v>
      </c>
    </row>
    <row r="42" spans="1:2" x14ac:dyDescent="0.25">
      <c r="B42" s="9" t="s">
        <v>134</v>
      </c>
    </row>
    <row r="43" spans="1:2" x14ac:dyDescent="0.25">
      <c r="B43" s="9" t="s">
        <v>135</v>
      </c>
    </row>
    <row r="44" spans="1:2" x14ac:dyDescent="0.25">
      <c r="B44" s="9" t="s">
        <v>136</v>
      </c>
    </row>
    <row r="45" spans="1:2" x14ac:dyDescent="0.25">
      <c r="B45" s="9" t="s">
        <v>137</v>
      </c>
    </row>
    <row r="46" spans="1:2" x14ac:dyDescent="0.25">
      <c r="B46" s="9" t="s">
        <v>49</v>
      </c>
    </row>
    <row r="47" spans="1:2" x14ac:dyDescent="0.25">
      <c r="B47" s="9" t="s">
        <v>52</v>
      </c>
    </row>
    <row r="48" spans="1:2" x14ac:dyDescent="0.25">
      <c r="B48" s="9" t="s">
        <v>138</v>
      </c>
    </row>
    <row r="49" spans="2:2" x14ac:dyDescent="0.25">
      <c r="B49" s="9" t="s">
        <v>54</v>
      </c>
    </row>
    <row r="50" spans="2:2" x14ac:dyDescent="0.25">
      <c r="B50" s="9" t="s">
        <v>139</v>
      </c>
    </row>
  </sheetData>
  <mergeCells count="4">
    <mergeCell ref="A18:B18"/>
    <mergeCell ref="A3:B3"/>
    <mergeCell ref="A1:B1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Palavras-Chave vs Artigos</vt:lpstr>
      <vt:lpstr>Justificativas</vt:lpstr>
      <vt:lpstr>Eixos de Busca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cardoso</cp:lastModifiedBy>
  <dcterms:created xsi:type="dcterms:W3CDTF">2026-03-26T01:26:42Z</dcterms:created>
  <dcterms:modified xsi:type="dcterms:W3CDTF">2026-04-02T23:08:13Z</dcterms:modified>
</cp:coreProperties>
</file>